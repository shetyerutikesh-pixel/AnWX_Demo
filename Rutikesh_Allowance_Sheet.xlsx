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nsible_Playbook\playbook_exm\"/>
    </mc:Choice>
  </mc:AlternateContent>
  <bookViews>
    <workbookView xWindow="0" yWindow="0" windowWidth="19200" windowHeight="6930" activeTab="2"/>
  </bookViews>
  <sheets>
    <sheet name="Expense" sheetId="3" r:id="rId1"/>
    <sheet name="Address Details" sheetId="4" r:id="rId2"/>
    <sheet name="Attendence Deatails" sheetId="5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C32" i="4" l="1"/>
  <c r="AJ5" i="5" l="1"/>
  <c r="C24" i="3" l="1"/>
  <c r="AJ8" i="5" l="1"/>
  <c r="C27" i="3"/>
</calcChain>
</file>

<file path=xl/sharedStrings.xml><?xml version="1.0" encoding="utf-8"?>
<sst xmlns="http://schemas.openxmlformats.org/spreadsheetml/2006/main" count="170" uniqueCount="73">
  <si>
    <t>Airfare</t>
  </si>
  <si>
    <t>Avekshaa Technologies - Expense Report</t>
  </si>
  <si>
    <t>Taxi</t>
  </si>
  <si>
    <t>NAME</t>
  </si>
  <si>
    <t>Entertainment</t>
  </si>
  <si>
    <t>FROM</t>
  </si>
  <si>
    <t>Fuel</t>
  </si>
  <si>
    <t>TO</t>
  </si>
  <si>
    <t>Food</t>
  </si>
  <si>
    <t>EXPENSE NO</t>
  </si>
  <si>
    <t>Other</t>
  </si>
  <si>
    <t>Project</t>
  </si>
  <si>
    <t>Date</t>
  </si>
  <si>
    <t>Description</t>
  </si>
  <si>
    <t>Amount</t>
  </si>
  <si>
    <t>APPROVED:</t>
  </si>
  <si>
    <t/>
  </si>
  <si>
    <t>SUMMARY</t>
  </si>
  <si>
    <t>TOTAL</t>
  </si>
  <si>
    <t>Rutikesh Shetye</t>
  </si>
  <si>
    <r>
      <rPr>
        <sz val="24"/>
        <color rgb="FF0066CC"/>
        <rFont val="MV Boli"/>
      </rPr>
      <t>ave</t>
    </r>
    <r>
      <rPr>
        <sz val="24"/>
        <rFont val="MV Boli"/>
      </rPr>
      <t>kshaa</t>
    </r>
  </si>
  <si>
    <t xml:space="preserve">Release_Deployment_Rutikesh_Shetye_Devops </t>
  </si>
  <si>
    <t xml:space="preserve">Release and Deployment </t>
  </si>
  <si>
    <t>Travel</t>
  </si>
  <si>
    <t>Acco</t>
  </si>
  <si>
    <t>1. Home Address(Santacruz) : Room.No:302, 3/6 ving, Transit camp, Jawahar Nagar,Golibar Road, Santacruz(East) Mumbai NO:400055</t>
  </si>
  <si>
    <t>2 Avekshaa Address(Bhandup) :  Avekshaa Technologies Pvt Ltd, E-114 A&amp;B , 1st Floor ,Eastern Business District , Bhandup West ,Mumbai – 400078 , India</t>
  </si>
  <si>
    <t>Avekshaa Technologies -  Traveling Report</t>
  </si>
  <si>
    <t>Addreess</t>
  </si>
  <si>
    <t>Sr.No</t>
  </si>
  <si>
    <t>Location</t>
  </si>
  <si>
    <t>Santacruz</t>
  </si>
  <si>
    <t>Bhandup</t>
  </si>
  <si>
    <t xml:space="preserve"> Total Kilometer</t>
  </si>
  <si>
    <t>#</t>
  </si>
  <si>
    <t>Total Days</t>
  </si>
  <si>
    <t>Total Billable days</t>
  </si>
  <si>
    <t>Holiday Working</t>
  </si>
  <si>
    <t>Shift Offs</t>
  </si>
  <si>
    <t>Leaves</t>
  </si>
  <si>
    <t>Actual Total Working Days</t>
  </si>
  <si>
    <t>P</t>
  </si>
  <si>
    <t>Total</t>
  </si>
  <si>
    <t>Sum</t>
  </si>
  <si>
    <t>Employee</t>
  </si>
  <si>
    <t>WO</t>
  </si>
  <si>
    <t>Thu</t>
  </si>
  <si>
    <t>Fri</t>
  </si>
  <si>
    <t>Sat</t>
  </si>
  <si>
    <t>Sun</t>
  </si>
  <si>
    <t>Mon</t>
  </si>
  <si>
    <t>Tue</t>
  </si>
  <si>
    <t>Wed</t>
  </si>
  <si>
    <t>Turbhe</t>
  </si>
  <si>
    <t>16KM X 2 = 32KM/DAY</t>
  </si>
  <si>
    <t>32KM/DAY</t>
  </si>
  <si>
    <t>G</t>
  </si>
  <si>
    <t>General Shifts</t>
  </si>
  <si>
    <t>HOME(Santacruz) TO AVEKSHAA OFFICE (Bhandup)= 16KM/DAY</t>
  </si>
  <si>
    <t>AVEKSHAA OFFICE (Bhandup) TO HOME(Santacruz) = 16KM /DAY</t>
  </si>
  <si>
    <t>Night Shift</t>
  </si>
  <si>
    <t>Gigaplex IT Park, Bulding No 5, Airoli Knowledge Park Rd, TTC Industrial Area, Airoli, Navi Mumbai, Maharashtra 400708</t>
  </si>
  <si>
    <t>HOME(Santacruz) TO HDFC OFFICE(Airoli) = 58KM/DAY</t>
  </si>
  <si>
    <t xml:space="preserve"> HDFC OFFICE(Airoli) TO HOME(Santacruz) = 58KM/DAY</t>
  </si>
  <si>
    <t>116KM/DAY</t>
  </si>
  <si>
    <t>84KM/DAY</t>
  </si>
  <si>
    <t xml:space="preserve">  HDFC OFFICE(Airoli) 116KM - 32KM AVEKSHAA OFFICE (Bhandup) = 84KM/day</t>
  </si>
  <si>
    <t>84KM/DAY X  6 = 504  Ruppes/DAY</t>
  </si>
  <si>
    <t>58KM X 2 =  116KM/DAY</t>
  </si>
  <si>
    <t xml:space="preserve">Traveling Allowance (84km x 6 =504/day) so Total working day 19 (504 x 19) </t>
  </si>
  <si>
    <t>extra day working (26/07/2025 &amp; 25/08/2025)</t>
  </si>
  <si>
    <t>Traveling Allowance for extra working day(26/07/2025)</t>
  </si>
  <si>
    <t>Total Working day 20 so 20  X 504= 10080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</si>
</sst>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[$-409]d\-mmm\-yy;@"/>
    <numFmt numFmtId="165" formatCode="_-&quot;£&quot;* #,##0.00_-;\-&quot;£&quot;* #,##0.00_-;_-&quot;£&quot;* &quot;-&quot;??_-;_-@_-"/>
    <numFmt numFmtId="166" formatCode="_ * #,##0_ ;_ * \-#,##0_ ;_ * &quot;-&quot;??_ ;_ @_ "/>
    <numFmt numFmtId="167" formatCode="m/d/yyyy"/>
    <numFmt numFmtId="168" formatCode="_-* #,##0.00_-;\-* #,##0.00_-;_-* &quot;-&quot;??_-;_-@_-"/>
  </numFmts>
  <fonts count="25" x14ac:knownFonts="1">
    <font>
      <sz val="10"/>
      <name val="Arial"/>
    </font>
    <font>
      <sz val="10"/>
      <name val="Tahoma"/>
      <family val="2"/>
    </font>
    <font>
      <i/>
      <sz val="8"/>
      <name val="Tahoma"/>
      <family val="2"/>
    </font>
    <font>
      <sz val="24"/>
      <color indexed="60"/>
      <name val="MV Boli"/>
    </font>
    <font>
      <b/>
      <sz val="14"/>
      <color rgb="FF0066CC"/>
      <name val="Tahoma"/>
      <family val="2"/>
    </font>
    <font>
      <sz val="14"/>
      <color indexed="60"/>
      <name val="Tahoma"/>
      <family val="2"/>
    </font>
    <font>
      <b/>
      <sz val="11"/>
      <color indexed="63"/>
      <name val="Tahoma"/>
      <family val="2"/>
    </font>
    <font>
      <sz val="10"/>
      <color indexed="63"/>
      <name val="Tahoma"/>
      <family val="2"/>
    </font>
    <font>
      <b/>
      <sz val="11"/>
      <name val="Tahoma"/>
      <family val="2"/>
    </font>
    <font>
      <sz val="12"/>
      <name val="Tahoma"/>
      <family val="2"/>
    </font>
    <font>
      <sz val="11"/>
      <name val="Arial"/>
      <family val="2"/>
    </font>
    <font>
      <sz val="9"/>
      <color indexed="63"/>
      <name val="Tahoma"/>
      <family val="2"/>
    </font>
    <font>
      <b/>
      <sz val="11"/>
      <color indexed="9"/>
      <name val="Tahoma"/>
      <family val="2"/>
    </font>
    <font>
      <b/>
      <sz val="11"/>
      <color rgb="FFFFFFFF"/>
      <name val="Tahoma"/>
      <family val="2"/>
    </font>
    <font>
      <sz val="12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name val="Tahoma"/>
      <family val="2"/>
    </font>
    <font>
      <b/>
      <sz val="12"/>
      <name val="Arial"/>
      <family val="2"/>
    </font>
    <font>
      <sz val="24"/>
      <color rgb="FF0066CC"/>
      <name val="MV Boli"/>
    </font>
    <font>
      <sz val="24"/>
      <name val="MV Boli"/>
    </font>
    <font>
      <b/>
      <sz val="12"/>
      <name val="Calibri"/>
    </font>
    <font>
      <b/>
      <sz val="12"/>
      <color rgb="FF333333"/>
      <name val="Calibri"/>
    </font>
    <font>
      <sz val="11"/>
      <name val="Calibri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8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98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4" xfId="0" applyBorder="1"/>
    <xf numFmtId="0" fontId="4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1" fillId="0" borderId="0" xfId="0" applyFont="1"/>
    <xf numFmtId="0" fontId="6" fillId="3" borderId="7" xfId="0" applyFont="1" applyFill="1" applyBorder="1" applyAlignment="1">
      <alignment horizontal="right"/>
    </xf>
    <xf numFmtId="49" fontId="7" fillId="0" borderId="10" xfId="0" applyNumberFormat="1" applyFont="1" applyBorder="1" applyAlignment="1">
      <alignment horizontal="center"/>
    </xf>
    <xf numFmtId="14" fontId="1" fillId="0" borderId="0" xfId="0" applyNumberFormat="1" applyFont="1"/>
    <xf numFmtId="0" fontId="8" fillId="3" borderId="7" xfId="0" applyFont="1" applyFill="1" applyBorder="1" applyAlignment="1">
      <alignment horizontal="right"/>
    </xf>
    <xf numFmtId="14" fontId="9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right"/>
    </xf>
    <xf numFmtId="14" fontId="7" fillId="2" borderId="10" xfId="0" applyNumberFormat="1" applyFont="1" applyFill="1" applyBorder="1" applyAlignment="1">
      <alignment horizontal="left"/>
    </xf>
    <xf numFmtId="0" fontId="10" fillId="0" borderId="7" xfId="0" applyFont="1" applyBorder="1"/>
    <xf numFmtId="0" fontId="11" fillId="0" borderId="7" xfId="0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164" fontId="12" fillId="4" borderId="7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7" xfId="0" applyFont="1" applyBorder="1"/>
    <xf numFmtId="14" fontId="0" fillId="0" borderId="8" xfId="0" applyNumberFormat="1" applyBorder="1"/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center"/>
    </xf>
    <xf numFmtId="165" fontId="9" fillId="5" borderId="7" xfId="0" applyNumberFormat="1" applyFont="1" applyFill="1" applyBorder="1" applyAlignment="1">
      <alignment horizontal="left" wrapText="1"/>
    </xf>
    <xf numFmtId="166" fontId="17" fillId="3" borderId="10" xfId="1" applyNumberFormat="1" applyFont="1" applyFill="1" applyBorder="1" applyAlignment="1">
      <alignment horizontal="right"/>
    </xf>
    <xf numFmtId="166" fontId="0" fillId="0" borderId="0" xfId="0" applyNumberFormat="1"/>
    <xf numFmtId="0" fontId="17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0" fillId="0" borderId="0" xfId="0" quotePrefix="1"/>
    <xf numFmtId="0" fontId="18" fillId="0" borderId="7" xfId="0" applyFont="1" applyBorder="1"/>
    <xf numFmtId="4" fontId="14" fillId="0" borderId="7" xfId="0" applyNumberFormat="1" applyFont="1" applyBorder="1"/>
    <xf numFmtId="0" fontId="14" fillId="0" borderId="10" xfId="0" applyFont="1" applyBorder="1"/>
    <xf numFmtId="0" fontId="18" fillId="3" borderId="7" xfId="0" applyFont="1" applyFill="1" applyBorder="1"/>
    <xf numFmtId="0" fontId="0" fillId="0" borderId="14" xfId="0" applyBorder="1"/>
    <xf numFmtId="0" fontId="14" fillId="0" borderId="15" xfId="0" applyFont="1" applyBorder="1"/>
    <xf numFmtId="0" fontId="14" fillId="0" borderId="16" xfId="0" applyFont="1" applyBorder="1"/>
    <xf numFmtId="49" fontId="7" fillId="0" borderId="8" xfId="0" applyNumberFormat="1" applyFont="1" applyBorder="1" applyAlignment="1">
      <alignment horizontal="center"/>
    </xf>
    <xf numFmtId="0" fontId="12" fillId="4" borderId="8" xfId="0" applyFont="1" applyFill="1" applyBorder="1" applyAlignment="1">
      <alignment horizontal="center" vertical="center"/>
    </xf>
    <xf numFmtId="43" fontId="9" fillId="0" borderId="8" xfId="1" applyFont="1" applyBorder="1" applyAlignment="1">
      <alignment horizontal="right"/>
    </xf>
    <xf numFmtId="14" fontId="1" fillId="0" borderId="7" xfId="0" applyNumberFormat="1" applyFont="1" applyBorder="1"/>
    <xf numFmtId="0" fontId="13" fillId="6" borderId="7" xfId="0" applyFont="1" applyFill="1" applyBorder="1" applyAlignment="1">
      <alignment horizontal="center" vertical="center"/>
    </xf>
    <xf numFmtId="0" fontId="1" fillId="0" borderId="7" xfId="0" applyFont="1" applyBorder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5" fillId="0" borderId="5" xfId="0" applyFont="1" applyBorder="1" applyAlignment="1">
      <alignment vertical="top"/>
    </xf>
    <xf numFmtId="49" fontId="7" fillId="0" borderId="7" xfId="0" applyNumberFormat="1" applyFont="1" applyBorder="1" applyAlignment="1">
      <alignment horizontal="center"/>
    </xf>
    <xf numFmtId="167" fontId="21" fillId="0" borderId="17" xfId="0" applyNumberFormat="1" applyFont="1" applyBorder="1" applyAlignment="1"/>
    <xf numFmtId="14" fontId="7" fillId="2" borderId="7" xfId="0" applyNumberFormat="1" applyFont="1" applyFill="1" applyBorder="1" applyAlignment="1">
      <alignment horizontal="left"/>
    </xf>
    <xf numFmtId="167" fontId="22" fillId="0" borderId="17" xfId="0" applyNumberFormat="1" applyFont="1" applyBorder="1" applyAlignment="1"/>
    <xf numFmtId="165" fontId="9" fillId="0" borderId="7" xfId="0" applyNumberFormat="1" applyFont="1" applyBorder="1" applyAlignment="1">
      <alignment horizontal="left"/>
    </xf>
    <xf numFmtId="4" fontId="9" fillId="2" borderId="7" xfId="0" applyNumberFormat="1" applyFont="1" applyFill="1" applyBorder="1" applyAlignment="1">
      <alignment horizontal="center"/>
    </xf>
    <xf numFmtId="165" fontId="9" fillId="0" borderId="8" xfId="0" applyNumberFormat="1" applyFont="1" applyBorder="1" applyAlignment="1">
      <alignment horizontal="left"/>
    </xf>
    <xf numFmtId="165" fontId="17" fillId="0" borderId="7" xfId="0" applyNumberFormat="1" applyFont="1" applyBorder="1" applyAlignment="1">
      <alignment horizontal="left"/>
    </xf>
    <xf numFmtId="168" fontId="9" fillId="2" borderId="7" xfId="0" applyNumberFormat="1" applyFont="1" applyFill="1" applyBorder="1" applyAlignment="1">
      <alignment horizontal="center"/>
    </xf>
    <xf numFmtId="165" fontId="17" fillId="3" borderId="7" xfId="0" applyNumberFormat="1" applyFont="1" applyFill="1" applyBorder="1" applyAlignment="1">
      <alignment horizontal="right"/>
    </xf>
    <xf numFmtId="168" fontId="17" fillId="3" borderId="7" xfId="0" applyNumberFormat="1" applyFont="1" applyFill="1" applyBorder="1" applyAlignment="1">
      <alignment horizontal="center"/>
    </xf>
    <xf numFmtId="0" fontId="15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3" fillId="0" borderId="7" xfId="0" applyFont="1" applyBorder="1" applyAlignment="1">
      <alignment wrapText="1"/>
    </xf>
    <xf numFmtId="0" fontId="23" fillId="8" borderId="7" xfId="0" applyFont="1" applyFill="1" applyBorder="1" applyAlignment="1">
      <alignment wrapText="1"/>
    </xf>
    <xf numFmtId="0" fontId="23" fillId="0" borderId="7" xfId="0" applyFont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horizontal="right"/>
    </xf>
    <xf numFmtId="0" fontId="16" fillId="0" borderId="7" xfId="0" applyFont="1" applyBorder="1" applyAlignment="1">
      <alignment horizontal="right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23" fillId="0" borderId="20" xfId="0" applyFont="1" applyBorder="1" applyAlignment="1">
      <alignment wrapText="1"/>
    </xf>
    <xf numFmtId="0" fontId="23" fillId="8" borderId="21" xfId="0" applyFont="1" applyFill="1" applyBorder="1" applyAlignment="1">
      <alignment wrapText="1"/>
    </xf>
    <xf numFmtId="0" fontId="23" fillId="10" borderId="19" xfId="0" applyFont="1" applyFill="1" applyBorder="1" applyAlignment="1">
      <alignment horizontal="center" wrapText="1"/>
    </xf>
    <xf numFmtId="0" fontId="23" fillId="10" borderId="2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4" fontId="0" fillId="0" borderId="7" xfId="0" applyNumberFormat="1" applyBorder="1" applyAlignment="1">
      <alignment horizontal="right"/>
    </xf>
    <xf numFmtId="0" fontId="23" fillId="12" borderId="7" xfId="0" applyFont="1" applyFill="1" applyBorder="1" applyAlignment="1">
      <alignment horizontal="center" wrapText="1"/>
    </xf>
    <xf numFmtId="0" fontId="23" fillId="11" borderId="7" xfId="0" applyFont="1" applyFill="1" applyBorder="1" applyAlignment="1">
      <alignment horizontal="center" wrapText="1"/>
    </xf>
    <xf numFmtId="0" fontId="23" fillId="9" borderId="7" xfId="0" applyFont="1" applyFill="1" applyBorder="1" applyAlignment="1">
      <alignment horizontal="center" wrapText="1"/>
    </xf>
    <xf numFmtId="0" fontId="23" fillId="10" borderId="22" xfId="0" applyFont="1" applyFill="1" applyBorder="1" applyAlignment="1">
      <alignment horizontal="center" wrapText="1"/>
    </xf>
    <xf numFmtId="4" fontId="24" fillId="0" borderId="7" xfId="0" applyNumberFormat="1" applyFont="1" applyBorder="1" applyAlignment="1">
      <alignment horizontal="right"/>
    </xf>
    <xf numFmtId="0" fontId="0" fillId="0" borderId="7" xfId="0" applyBorder="1" applyAlignment="1">
      <alignment vertical="center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9" fillId="0" borderId="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34925</xdr:rowOff>
    </xdr:from>
    <xdr:to>
      <xdr:col>3</xdr:col>
      <xdr:colOff>22225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D51B2-6DEA-4B6E-9BA4-58FF70EA2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34925"/>
          <a:ext cx="20097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1"/>
  <sheetViews>
    <sheetView zoomScale="85" workbookViewId="0">
      <selection activeCell="C21" sqref="C21:E21"/>
    </sheetView>
  </sheetViews>
  <sheetFormatPr defaultRowHeight="12.5" x14ac:dyDescent="0.25"/>
  <cols>
    <col min="1" max="1" width="3.453125" customWidth="1"/>
    <col min="2" max="2" width="34.6328125" customWidth="1"/>
    <col min="3" max="3" width="19.81640625" customWidth="1"/>
    <col min="4" max="4" width="118.1796875" bestFit="1" customWidth="1"/>
    <col min="5" max="5" width="15.1796875" customWidth="1"/>
    <col min="17" max="21" width="0" hidden="1" customWidth="1"/>
  </cols>
  <sheetData>
    <row r="1" spans="2:19" s="5" customFormat="1" ht="16.5" customHeight="1" x14ac:dyDescent="0.25">
      <c r="B1" s="4"/>
      <c r="C1" s="4"/>
      <c r="D1" s="4"/>
      <c r="E1" s="49"/>
      <c r="F1" s="4"/>
      <c r="S1" s="5" t="s">
        <v>0</v>
      </c>
    </row>
    <row r="2" spans="2:19" ht="32.5" x14ac:dyDescent="0.25">
      <c r="B2" s="50" t="s">
        <v>20</v>
      </c>
      <c r="D2" s="7" t="s">
        <v>1</v>
      </c>
      <c r="E2" s="51"/>
      <c r="F2" s="9"/>
      <c r="S2" t="s">
        <v>2</v>
      </c>
    </row>
    <row r="3" spans="2:19" ht="14" x14ac:dyDescent="0.3">
      <c r="B3" s="10" t="s">
        <v>3</v>
      </c>
      <c r="C3" s="88" t="s">
        <v>19</v>
      </c>
      <c r="D3" s="89"/>
      <c r="E3" s="52"/>
      <c r="F3" s="12"/>
      <c r="S3" t="s">
        <v>4</v>
      </c>
    </row>
    <row r="4" spans="2:19" ht="15.5" x14ac:dyDescent="0.35">
      <c r="B4" s="13" t="s">
        <v>5</v>
      </c>
      <c r="C4" s="53">
        <v>45870</v>
      </c>
      <c r="D4" s="15"/>
      <c r="E4" s="54"/>
      <c r="F4" s="9"/>
      <c r="S4" t="s">
        <v>6</v>
      </c>
    </row>
    <row r="5" spans="2:19" ht="15.5" x14ac:dyDescent="0.35">
      <c r="B5" s="10" t="s">
        <v>7</v>
      </c>
      <c r="C5" s="55">
        <v>45900</v>
      </c>
      <c r="D5" s="17"/>
      <c r="E5" s="54"/>
      <c r="F5" s="9"/>
      <c r="S5" t="s">
        <v>8</v>
      </c>
    </row>
    <row r="6" spans="2:19" ht="14" x14ac:dyDescent="0.3">
      <c r="B6" s="10" t="s">
        <v>9</v>
      </c>
      <c r="C6" s="88" t="s">
        <v>21</v>
      </c>
      <c r="D6" s="89"/>
      <c r="E6" s="54"/>
      <c r="F6" s="9"/>
    </row>
    <row r="7" spans="2:19" ht="17.149999999999999" customHeight="1" x14ac:dyDescent="0.25">
      <c r="B7" s="18"/>
      <c r="C7" s="19"/>
      <c r="D7" s="18"/>
      <c r="E7" s="52"/>
      <c r="F7" s="12"/>
      <c r="S7" t="s">
        <v>10</v>
      </c>
    </row>
    <row r="8" spans="2:19" s="24" customFormat="1" ht="14" x14ac:dyDescent="0.25">
      <c r="B8" s="21" t="s">
        <v>11</v>
      </c>
      <c r="C8" s="21" t="s">
        <v>12</v>
      </c>
      <c r="D8" s="21" t="s">
        <v>13</v>
      </c>
      <c r="E8" s="21" t="s">
        <v>14</v>
      </c>
    </row>
    <row r="9" spans="2:19" ht="15.5" x14ac:dyDescent="0.35">
      <c r="B9" s="25" t="s">
        <v>22</v>
      </c>
      <c r="C9" s="53">
        <v>45870</v>
      </c>
      <c r="D9" s="56"/>
      <c r="E9" s="57"/>
      <c r="F9" s="9"/>
    </row>
    <row r="10" spans="2:19" ht="15.5" x14ac:dyDescent="0.35">
      <c r="B10" s="25"/>
      <c r="C10" s="14"/>
      <c r="D10" s="56"/>
      <c r="E10" s="57"/>
      <c r="F10" s="9"/>
    </row>
    <row r="11" spans="2:19" ht="15.5" x14ac:dyDescent="0.35">
      <c r="B11" s="25"/>
      <c r="C11" s="14"/>
      <c r="D11" s="56" t="s">
        <v>69</v>
      </c>
      <c r="E11" s="81">
        <v>10080</v>
      </c>
      <c r="F11" s="9"/>
    </row>
    <row r="12" spans="2:19" ht="15.5" x14ac:dyDescent="0.35">
      <c r="B12" s="25"/>
      <c r="C12" s="14"/>
      <c r="D12" s="56"/>
      <c r="E12" s="57"/>
      <c r="F12" s="9"/>
    </row>
    <row r="13" spans="2:19" ht="15.5" x14ac:dyDescent="0.35">
      <c r="B13" s="25"/>
      <c r="C13" s="14"/>
      <c r="D13" s="56" t="s">
        <v>70</v>
      </c>
      <c r="E13" s="81">
        <v>1500</v>
      </c>
      <c r="F13" s="9"/>
    </row>
    <row r="14" spans="2:19" ht="15.5" x14ac:dyDescent="0.35">
      <c r="B14" s="25"/>
      <c r="C14" s="14"/>
      <c r="D14" s="59"/>
      <c r="E14" s="57"/>
      <c r="F14" s="9"/>
    </row>
    <row r="15" spans="2:19" ht="15.5" x14ac:dyDescent="0.35">
      <c r="B15" s="25"/>
      <c r="C15" s="14"/>
      <c r="D15" s="56" t="s">
        <v>71</v>
      </c>
      <c r="E15" s="81">
        <v>504</v>
      </c>
      <c r="F15" s="9"/>
    </row>
    <row r="16" spans="2:19" ht="15.5" x14ac:dyDescent="0.35">
      <c r="B16" s="25"/>
      <c r="C16" s="14"/>
      <c r="E16" s="57"/>
      <c r="F16" s="9"/>
    </row>
    <row r="17" spans="2:6" ht="15.5" x14ac:dyDescent="0.35">
      <c r="B17" s="25"/>
      <c r="C17" s="14"/>
      <c r="D17" s="58"/>
      <c r="E17" s="57"/>
      <c r="F17" s="9"/>
    </row>
    <row r="18" spans="2:6" ht="15.5" x14ac:dyDescent="0.35">
      <c r="B18" s="25"/>
      <c r="C18" s="34"/>
      <c r="D18" s="59"/>
      <c r="E18" s="60"/>
      <c r="F18" s="9"/>
    </row>
    <row r="19" spans="2:6" ht="15.5" x14ac:dyDescent="0.35">
      <c r="B19" s="25"/>
      <c r="C19" s="34"/>
      <c r="D19" s="59"/>
      <c r="E19" s="60"/>
      <c r="F19" s="9"/>
    </row>
    <row r="20" spans="2:6" ht="15.5" x14ac:dyDescent="0.35">
      <c r="B20" s="25"/>
      <c r="C20" s="34"/>
      <c r="D20" s="61" t="s">
        <v>18</v>
      </c>
      <c r="E20" s="81">
        <f>E11+E13+E15</f>
        <v>12084</v>
      </c>
      <c r="F20" s="9"/>
    </row>
    <row r="21" spans="2:6" ht="15" x14ac:dyDescent="0.3">
      <c r="B21" s="33" t="s">
        <v>15</v>
      </c>
      <c r="C21" s="90"/>
      <c r="D21" s="90"/>
      <c r="E21" s="90"/>
      <c r="F21" s="9"/>
    </row>
    <row r="22" spans="2:6" ht="15.5" x14ac:dyDescent="0.35">
      <c r="B22" s="25"/>
      <c r="C22" s="90"/>
      <c r="D22" s="90"/>
      <c r="E22" s="90"/>
      <c r="F22" s="9"/>
    </row>
    <row r="23" spans="2:6" ht="15.5" x14ac:dyDescent="0.35">
      <c r="B23" s="36" t="s">
        <v>17</v>
      </c>
      <c r="C23" s="25"/>
      <c r="D23" s="25"/>
      <c r="E23" s="25"/>
    </row>
    <row r="24" spans="2:6" ht="15.5" x14ac:dyDescent="0.35">
      <c r="B24" s="25" t="s">
        <v>23</v>
      </c>
      <c r="C24" s="86">
        <f>E20</f>
        <v>12084</v>
      </c>
      <c r="D24" s="25"/>
      <c r="E24" s="25"/>
    </row>
    <row r="25" spans="2:6" ht="15.5" x14ac:dyDescent="0.35">
      <c r="B25" s="25" t="s">
        <v>24</v>
      </c>
      <c r="C25" s="25"/>
      <c r="D25" s="25"/>
      <c r="E25" s="25"/>
    </row>
    <row r="26" spans="2:6" ht="15.5" x14ac:dyDescent="0.35">
      <c r="B26" s="25" t="s">
        <v>8</v>
      </c>
      <c r="C26" s="25"/>
      <c r="D26" s="25"/>
      <c r="E26" s="25"/>
    </row>
    <row r="27" spans="2:6" ht="15.5" x14ac:dyDescent="0.35">
      <c r="B27" s="39" t="s">
        <v>18</v>
      </c>
      <c r="C27" s="62">
        <f>E20</f>
        <v>12084</v>
      </c>
      <c r="D27" s="25"/>
      <c r="E27" s="25"/>
    </row>
    <row r="28" spans="2:6" ht="15.5" x14ac:dyDescent="0.35">
      <c r="B28" s="25"/>
      <c r="C28" s="25"/>
      <c r="D28" s="25"/>
      <c r="E28" s="25"/>
    </row>
    <row r="29" spans="2:6" ht="15.5" x14ac:dyDescent="0.35">
      <c r="B29" s="25"/>
      <c r="C29" s="25"/>
      <c r="D29" s="25"/>
      <c r="E29" s="25"/>
    </row>
    <row r="30" spans="2:6" ht="15.5" x14ac:dyDescent="0.35">
      <c r="B30" s="25"/>
      <c r="C30" s="25"/>
      <c r="D30" s="25"/>
      <c r="E30" s="25"/>
    </row>
    <row r="31" spans="2:6" ht="15.5" x14ac:dyDescent="0.35">
      <c r="B31" s="25"/>
      <c r="C31" s="25"/>
      <c r="D31" s="25"/>
      <c r="E31" s="25"/>
    </row>
  </sheetData>
  <mergeCells count="4">
    <mergeCell ref="C3:D3"/>
    <mergeCell ref="C6:D6"/>
    <mergeCell ref="C21:E21"/>
    <mergeCell ref="C22:E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opLeftCell="B15" zoomScale="91" workbookViewId="0">
      <selection activeCell="C28" sqref="C28:E28"/>
    </sheetView>
  </sheetViews>
  <sheetFormatPr defaultRowHeight="12.5" x14ac:dyDescent="0.25"/>
  <cols>
    <col min="1" max="1" width="3.453125" customWidth="1"/>
    <col min="2" max="2" width="18.26953125" bestFit="1" customWidth="1"/>
    <col min="3" max="3" width="13.453125" bestFit="1" customWidth="1"/>
    <col min="4" max="4" width="59" bestFit="1" customWidth="1"/>
    <col min="5" max="5" width="14.26953125" bestFit="1" customWidth="1"/>
    <col min="6" max="6" width="34.54296875" bestFit="1" customWidth="1"/>
    <col min="9" max="9" width="10.08984375" bestFit="1" customWidth="1"/>
    <col min="16" max="20" width="0" hidden="1" customWidth="1"/>
    <col min="257" max="257" width="3.453125" customWidth="1"/>
    <col min="258" max="258" width="18.26953125" bestFit="1" customWidth="1"/>
    <col min="259" max="259" width="13.453125" bestFit="1" customWidth="1"/>
    <col min="260" max="260" width="59" bestFit="1" customWidth="1"/>
    <col min="261" max="261" width="14.26953125" bestFit="1" customWidth="1"/>
    <col min="262" max="262" width="34.54296875" bestFit="1" customWidth="1"/>
    <col min="272" max="276" width="0" hidden="1" customWidth="1"/>
    <col min="513" max="513" width="3.453125" customWidth="1"/>
    <col min="514" max="514" width="18.26953125" bestFit="1" customWidth="1"/>
    <col min="515" max="515" width="13.453125" bestFit="1" customWidth="1"/>
    <col min="516" max="516" width="59" bestFit="1" customWidth="1"/>
    <col min="517" max="517" width="14.26953125" bestFit="1" customWidth="1"/>
    <col min="518" max="518" width="34.54296875" bestFit="1" customWidth="1"/>
    <col min="528" max="532" width="0" hidden="1" customWidth="1"/>
    <col min="769" max="769" width="3.453125" customWidth="1"/>
    <col min="770" max="770" width="18.26953125" bestFit="1" customWidth="1"/>
    <col min="771" max="771" width="13.453125" bestFit="1" customWidth="1"/>
    <col min="772" max="772" width="59" bestFit="1" customWidth="1"/>
    <col min="773" max="773" width="14.26953125" bestFit="1" customWidth="1"/>
    <col min="774" max="774" width="34.54296875" bestFit="1" customWidth="1"/>
    <col min="784" max="788" width="0" hidden="1" customWidth="1"/>
    <col min="1025" max="1025" width="3.453125" customWidth="1"/>
    <col min="1026" max="1026" width="18.26953125" bestFit="1" customWidth="1"/>
    <col min="1027" max="1027" width="13.453125" bestFit="1" customWidth="1"/>
    <col min="1028" max="1028" width="59" bestFit="1" customWidth="1"/>
    <col min="1029" max="1029" width="14.26953125" bestFit="1" customWidth="1"/>
    <col min="1030" max="1030" width="34.54296875" bestFit="1" customWidth="1"/>
    <col min="1040" max="1044" width="0" hidden="1" customWidth="1"/>
    <col min="1281" max="1281" width="3.453125" customWidth="1"/>
    <col min="1282" max="1282" width="18.26953125" bestFit="1" customWidth="1"/>
    <col min="1283" max="1283" width="13.453125" bestFit="1" customWidth="1"/>
    <col min="1284" max="1284" width="59" bestFit="1" customWidth="1"/>
    <col min="1285" max="1285" width="14.26953125" bestFit="1" customWidth="1"/>
    <col min="1286" max="1286" width="34.54296875" bestFit="1" customWidth="1"/>
    <col min="1296" max="1300" width="0" hidden="1" customWidth="1"/>
    <col min="1537" max="1537" width="3.453125" customWidth="1"/>
    <col min="1538" max="1538" width="18.26953125" bestFit="1" customWidth="1"/>
    <col min="1539" max="1539" width="13.453125" bestFit="1" customWidth="1"/>
    <col min="1540" max="1540" width="59" bestFit="1" customWidth="1"/>
    <col min="1541" max="1541" width="14.26953125" bestFit="1" customWidth="1"/>
    <col min="1542" max="1542" width="34.54296875" bestFit="1" customWidth="1"/>
    <col min="1552" max="1556" width="0" hidden="1" customWidth="1"/>
    <col min="1793" max="1793" width="3.453125" customWidth="1"/>
    <col min="1794" max="1794" width="18.26953125" bestFit="1" customWidth="1"/>
    <col min="1795" max="1795" width="13.453125" bestFit="1" customWidth="1"/>
    <col min="1796" max="1796" width="59" bestFit="1" customWidth="1"/>
    <col min="1797" max="1797" width="14.26953125" bestFit="1" customWidth="1"/>
    <col min="1798" max="1798" width="34.54296875" bestFit="1" customWidth="1"/>
    <col min="1808" max="1812" width="0" hidden="1" customWidth="1"/>
    <col min="2049" max="2049" width="3.453125" customWidth="1"/>
    <col min="2050" max="2050" width="18.26953125" bestFit="1" customWidth="1"/>
    <col min="2051" max="2051" width="13.453125" bestFit="1" customWidth="1"/>
    <col min="2052" max="2052" width="59" bestFit="1" customWidth="1"/>
    <col min="2053" max="2053" width="14.26953125" bestFit="1" customWidth="1"/>
    <col min="2054" max="2054" width="34.54296875" bestFit="1" customWidth="1"/>
    <col min="2064" max="2068" width="0" hidden="1" customWidth="1"/>
    <col min="2305" max="2305" width="3.453125" customWidth="1"/>
    <col min="2306" max="2306" width="18.26953125" bestFit="1" customWidth="1"/>
    <col min="2307" max="2307" width="13.453125" bestFit="1" customWidth="1"/>
    <col min="2308" max="2308" width="59" bestFit="1" customWidth="1"/>
    <col min="2309" max="2309" width="14.26953125" bestFit="1" customWidth="1"/>
    <col min="2310" max="2310" width="34.54296875" bestFit="1" customWidth="1"/>
    <col min="2320" max="2324" width="0" hidden="1" customWidth="1"/>
    <col min="2561" max="2561" width="3.453125" customWidth="1"/>
    <col min="2562" max="2562" width="18.26953125" bestFit="1" customWidth="1"/>
    <col min="2563" max="2563" width="13.453125" bestFit="1" customWidth="1"/>
    <col min="2564" max="2564" width="59" bestFit="1" customWidth="1"/>
    <col min="2565" max="2565" width="14.26953125" bestFit="1" customWidth="1"/>
    <col min="2566" max="2566" width="34.54296875" bestFit="1" customWidth="1"/>
    <col min="2576" max="2580" width="0" hidden="1" customWidth="1"/>
    <col min="2817" max="2817" width="3.453125" customWidth="1"/>
    <col min="2818" max="2818" width="18.26953125" bestFit="1" customWidth="1"/>
    <col min="2819" max="2819" width="13.453125" bestFit="1" customWidth="1"/>
    <col min="2820" max="2820" width="59" bestFit="1" customWidth="1"/>
    <col min="2821" max="2821" width="14.26953125" bestFit="1" customWidth="1"/>
    <col min="2822" max="2822" width="34.54296875" bestFit="1" customWidth="1"/>
    <col min="2832" max="2836" width="0" hidden="1" customWidth="1"/>
    <col min="3073" max="3073" width="3.453125" customWidth="1"/>
    <col min="3074" max="3074" width="18.26953125" bestFit="1" customWidth="1"/>
    <col min="3075" max="3075" width="13.453125" bestFit="1" customWidth="1"/>
    <col min="3076" max="3076" width="59" bestFit="1" customWidth="1"/>
    <col min="3077" max="3077" width="14.26953125" bestFit="1" customWidth="1"/>
    <col min="3078" max="3078" width="34.54296875" bestFit="1" customWidth="1"/>
    <col min="3088" max="3092" width="0" hidden="1" customWidth="1"/>
    <col min="3329" max="3329" width="3.453125" customWidth="1"/>
    <col min="3330" max="3330" width="18.26953125" bestFit="1" customWidth="1"/>
    <col min="3331" max="3331" width="13.453125" bestFit="1" customWidth="1"/>
    <col min="3332" max="3332" width="59" bestFit="1" customWidth="1"/>
    <col min="3333" max="3333" width="14.26953125" bestFit="1" customWidth="1"/>
    <col min="3334" max="3334" width="34.54296875" bestFit="1" customWidth="1"/>
    <col min="3344" max="3348" width="0" hidden="1" customWidth="1"/>
    <col min="3585" max="3585" width="3.453125" customWidth="1"/>
    <col min="3586" max="3586" width="18.26953125" bestFit="1" customWidth="1"/>
    <col min="3587" max="3587" width="13.453125" bestFit="1" customWidth="1"/>
    <col min="3588" max="3588" width="59" bestFit="1" customWidth="1"/>
    <col min="3589" max="3589" width="14.26953125" bestFit="1" customWidth="1"/>
    <col min="3590" max="3590" width="34.54296875" bestFit="1" customWidth="1"/>
    <col min="3600" max="3604" width="0" hidden="1" customWidth="1"/>
    <col min="3841" max="3841" width="3.453125" customWidth="1"/>
    <col min="3842" max="3842" width="18.26953125" bestFit="1" customWidth="1"/>
    <col min="3843" max="3843" width="13.453125" bestFit="1" customWidth="1"/>
    <col min="3844" max="3844" width="59" bestFit="1" customWidth="1"/>
    <col min="3845" max="3845" width="14.26953125" bestFit="1" customWidth="1"/>
    <col min="3846" max="3846" width="34.54296875" bestFit="1" customWidth="1"/>
    <col min="3856" max="3860" width="0" hidden="1" customWidth="1"/>
    <col min="4097" max="4097" width="3.453125" customWidth="1"/>
    <col min="4098" max="4098" width="18.26953125" bestFit="1" customWidth="1"/>
    <col min="4099" max="4099" width="13.453125" bestFit="1" customWidth="1"/>
    <col min="4100" max="4100" width="59" bestFit="1" customWidth="1"/>
    <col min="4101" max="4101" width="14.26953125" bestFit="1" customWidth="1"/>
    <col min="4102" max="4102" width="34.54296875" bestFit="1" customWidth="1"/>
    <col min="4112" max="4116" width="0" hidden="1" customWidth="1"/>
    <col min="4353" max="4353" width="3.453125" customWidth="1"/>
    <col min="4354" max="4354" width="18.26953125" bestFit="1" customWidth="1"/>
    <col min="4355" max="4355" width="13.453125" bestFit="1" customWidth="1"/>
    <col min="4356" max="4356" width="59" bestFit="1" customWidth="1"/>
    <col min="4357" max="4357" width="14.26953125" bestFit="1" customWidth="1"/>
    <col min="4358" max="4358" width="34.54296875" bestFit="1" customWidth="1"/>
    <col min="4368" max="4372" width="0" hidden="1" customWidth="1"/>
    <col min="4609" max="4609" width="3.453125" customWidth="1"/>
    <col min="4610" max="4610" width="18.26953125" bestFit="1" customWidth="1"/>
    <col min="4611" max="4611" width="13.453125" bestFit="1" customWidth="1"/>
    <col min="4612" max="4612" width="59" bestFit="1" customWidth="1"/>
    <col min="4613" max="4613" width="14.26953125" bestFit="1" customWidth="1"/>
    <col min="4614" max="4614" width="34.54296875" bestFit="1" customWidth="1"/>
    <col min="4624" max="4628" width="0" hidden="1" customWidth="1"/>
    <col min="4865" max="4865" width="3.453125" customWidth="1"/>
    <col min="4866" max="4866" width="18.26953125" bestFit="1" customWidth="1"/>
    <col min="4867" max="4867" width="13.453125" bestFit="1" customWidth="1"/>
    <col min="4868" max="4868" width="59" bestFit="1" customWidth="1"/>
    <col min="4869" max="4869" width="14.26953125" bestFit="1" customWidth="1"/>
    <col min="4870" max="4870" width="34.54296875" bestFit="1" customWidth="1"/>
    <col min="4880" max="4884" width="0" hidden="1" customWidth="1"/>
    <col min="5121" max="5121" width="3.453125" customWidth="1"/>
    <col min="5122" max="5122" width="18.26953125" bestFit="1" customWidth="1"/>
    <col min="5123" max="5123" width="13.453125" bestFit="1" customWidth="1"/>
    <col min="5124" max="5124" width="59" bestFit="1" customWidth="1"/>
    <col min="5125" max="5125" width="14.26953125" bestFit="1" customWidth="1"/>
    <col min="5126" max="5126" width="34.54296875" bestFit="1" customWidth="1"/>
    <col min="5136" max="5140" width="0" hidden="1" customWidth="1"/>
    <col min="5377" max="5377" width="3.453125" customWidth="1"/>
    <col min="5378" max="5378" width="18.26953125" bestFit="1" customWidth="1"/>
    <col min="5379" max="5379" width="13.453125" bestFit="1" customWidth="1"/>
    <col min="5380" max="5380" width="59" bestFit="1" customWidth="1"/>
    <col min="5381" max="5381" width="14.26953125" bestFit="1" customWidth="1"/>
    <col min="5382" max="5382" width="34.54296875" bestFit="1" customWidth="1"/>
    <col min="5392" max="5396" width="0" hidden="1" customWidth="1"/>
    <col min="5633" max="5633" width="3.453125" customWidth="1"/>
    <col min="5634" max="5634" width="18.26953125" bestFit="1" customWidth="1"/>
    <col min="5635" max="5635" width="13.453125" bestFit="1" customWidth="1"/>
    <col min="5636" max="5636" width="59" bestFit="1" customWidth="1"/>
    <col min="5637" max="5637" width="14.26953125" bestFit="1" customWidth="1"/>
    <col min="5638" max="5638" width="34.54296875" bestFit="1" customWidth="1"/>
    <col min="5648" max="5652" width="0" hidden="1" customWidth="1"/>
    <col min="5889" max="5889" width="3.453125" customWidth="1"/>
    <col min="5890" max="5890" width="18.26953125" bestFit="1" customWidth="1"/>
    <col min="5891" max="5891" width="13.453125" bestFit="1" customWidth="1"/>
    <col min="5892" max="5892" width="59" bestFit="1" customWidth="1"/>
    <col min="5893" max="5893" width="14.26953125" bestFit="1" customWidth="1"/>
    <col min="5894" max="5894" width="34.54296875" bestFit="1" customWidth="1"/>
    <col min="5904" max="5908" width="0" hidden="1" customWidth="1"/>
    <col min="6145" max="6145" width="3.453125" customWidth="1"/>
    <col min="6146" max="6146" width="18.26953125" bestFit="1" customWidth="1"/>
    <col min="6147" max="6147" width="13.453125" bestFit="1" customWidth="1"/>
    <col min="6148" max="6148" width="59" bestFit="1" customWidth="1"/>
    <col min="6149" max="6149" width="14.26953125" bestFit="1" customWidth="1"/>
    <col min="6150" max="6150" width="34.54296875" bestFit="1" customWidth="1"/>
    <col min="6160" max="6164" width="0" hidden="1" customWidth="1"/>
    <col min="6401" max="6401" width="3.453125" customWidth="1"/>
    <col min="6402" max="6402" width="18.26953125" bestFit="1" customWidth="1"/>
    <col min="6403" max="6403" width="13.453125" bestFit="1" customWidth="1"/>
    <col min="6404" max="6404" width="59" bestFit="1" customWidth="1"/>
    <col min="6405" max="6405" width="14.26953125" bestFit="1" customWidth="1"/>
    <col min="6406" max="6406" width="34.54296875" bestFit="1" customWidth="1"/>
    <col min="6416" max="6420" width="0" hidden="1" customWidth="1"/>
    <col min="6657" max="6657" width="3.453125" customWidth="1"/>
    <col min="6658" max="6658" width="18.26953125" bestFit="1" customWidth="1"/>
    <col min="6659" max="6659" width="13.453125" bestFit="1" customWidth="1"/>
    <col min="6660" max="6660" width="59" bestFit="1" customWidth="1"/>
    <col min="6661" max="6661" width="14.26953125" bestFit="1" customWidth="1"/>
    <col min="6662" max="6662" width="34.54296875" bestFit="1" customWidth="1"/>
    <col min="6672" max="6676" width="0" hidden="1" customWidth="1"/>
    <col min="6913" max="6913" width="3.453125" customWidth="1"/>
    <col min="6914" max="6914" width="18.26953125" bestFit="1" customWidth="1"/>
    <col min="6915" max="6915" width="13.453125" bestFit="1" customWidth="1"/>
    <col min="6916" max="6916" width="59" bestFit="1" customWidth="1"/>
    <col min="6917" max="6917" width="14.26953125" bestFit="1" customWidth="1"/>
    <col min="6918" max="6918" width="34.54296875" bestFit="1" customWidth="1"/>
    <col min="6928" max="6932" width="0" hidden="1" customWidth="1"/>
    <col min="7169" max="7169" width="3.453125" customWidth="1"/>
    <col min="7170" max="7170" width="18.26953125" bestFit="1" customWidth="1"/>
    <col min="7171" max="7171" width="13.453125" bestFit="1" customWidth="1"/>
    <col min="7172" max="7172" width="59" bestFit="1" customWidth="1"/>
    <col min="7173" max="7173" width="14.26953125" bestFit="1" customWidth="1"/>
    <col min="7174" max="7174" width="34.54296875" bestFit="1" customWidth="1"/>
    <col min="7184" max="7188" width="0" hidden="1" customWidth="1"/>
    <col min="7425" max="7425" width="3.453125" customWidth="1"/>
    <col min="7426" max="7426" width="18.26953125" bestFit="1" customWidth="1"/>
    <col min="7427" max="7427" width="13.453125" bestFit="1" customWidth="1"/>
    <col min="7428" max="7428" width="59" bestFit="1" customWidth="1"/>
    <col min="7429" max="7429" width="14.26953125" bestFit="1" customWidth="1"/>
    <col min="7430" max="7430" width="34.54296875" bestFit="1" customWidth="1"/>
    <col min="7440" max="7444" width="0" hidden="1" customWidth="1"/>
    <col min="7681" max="7681" width="3.453125" customWidth="1"/>
    <col min="7682" max="7682" width="18.26953125" bestFit="1" customWidth="1"/>
    <col min="7683" max="7683" width="13.453125" bestFit="1" customWidth="1"/>
    <col min="7684" max="7684" width="59" bestFit="1" customWidth="1"/>
    <col min="7685" max="7685" width="14.26953125" bestFit="1" customWidth="1"/>
    <col min="7686" max="7686" width="34.54296875" bestFit="1" customWidth="1"/>
    <col min="7696" max="7700" width="0" hidden="1" customWidth="1"/>
    <col min="7937" max="7937" width="3.453125" customWidth="1"/>
    <col min="7938" max="7938" width="18.26953125" bestFit="1" customWidth="1"/>
    <col min="7939" max="7939" width="13.453125" bestFit="1" customWidth="1"/>
    <col min="7940" max="7940" width="59" bestFit="1" customWidth="1"/>
    <col min="7941" max="7941" width="14.26953125" bestFit="1" customWidth="1"/>
    <col min="7942" max="7942" width="34.54296875" bestFit="1" customWidth="1"/>
    <col min="7952" max="7956" width="0" hidden="1" customWidth="1"/>
    <col min="8193" max="8193" width="3.453125" customWidth="1"/>
    <col min="8194" max="8194" width="18.26953125" bestFit="1" customWidth="1"/>
    <col min="8195" max="8195" width="13.453125" bestFit="1" customWidth="1"/>
    <col min="8196" max="8196" width="59" bestFit="1" customWidth="1"/>
    <col min="8197" max="8197" width="14.26953125" bestFit="1" customWidth="1"/>
    <col min="8198" max="8198" width="34.54296875" bestFit="1" customWidth="1"/>
    <col min="8208" max="8212" width="0" hidden="1" customWidth="1"/>
    <col min="8449" max="8449" width="3.453125" customWidth="1"/>
    <col min="8450" max="8450" width="18.26953125" bestFit="1" customWidth="1"/>
    <col min="8451" max="8451" width="13.453125" bestFit="1" customWidth="1"/>
    <col min="8452" max="8452" width="59" bestFit="1" customWidth="1"/>
    <col min="8453" max="8453" width="14.26953125" bestFit="1" customWidth="1"/>
    <col min="8454" max="8454" width="34.54296875" bestFit="1" customWidth="1"/>
    <col min="8464" max="8468" width="0" hidden="1" customWidth="1"/>
    <col min="8705" max="8705" width="3.453125" customWidth="1"/>
    <col min="8706" max="8706" width="18.26953125" bestFit="1" customWidth="1"/>
    <col min="8707" max="8707" width="13.453125" bestFit="1" customWidth="1"/>
    <col min="8708" max="8708" width="59" bestFit="1" customWidth="1"/>
    <col min="8709" max="8709" width="14.26953125" bestFit="1" customWidth="1"/>
    <col min="8710" max="8710" width="34.54296875" bestFit="1" customWidth="1"/>
    <col min="8720" max="8724" width="0" hidden="1" customWidth="1"/>
    <col min="8961" max="8961" width="3.453125" customWidth="1"/>
    <col min="8962" max="8962" width="18.26953125" bestFit="1" customWidth="1"/>
    <col min="8963" max="8963" width="13.453125" bestFit="1" customWidth="1"/>
    <col min="8964" max="8964" width="59" bestFit="1" customWidth="1"/>
    <col min="8965" max="8965" width="14.26953125" bestFit="1" customWidth="1"/>
    <col min="8966" max="8966" width="34.54296875" bestFit="1" customWidth="1"/>
    <col min="8976" max="8980" width="0" hidden="1" customWidth="1"/>
    <col min="9217" max="9217" width="3.453125" customWidth="1"/>
    <col min="9218" max="9218" width="18.26953125" bestFit="1" customWidth="1"/>
    <col min="9219" max="9219" width="13.453125" bestFit="1" customWidth="1"/>
    <col min="9220" max="9220" width="59" bestFit="1" customWidth="1"/>
    <col min="9221" max="9221" width="14.26953125" bestFit="1" customWidth="1"/>
    <col min="9222" max="9222" width="34.54296875" bestFit="1" customWidth="1"/>
    <col min="9232" max="9236" width="0" hidden="1" customWidth="1"/>
    <col min="9473" max="9473" width="3.453125" customWidth="1"/>
    <col min="9474" max="9474" width="18.26953125" bestFit="1" customWidth="1"/>
    <col min="9475" max="9475" width="13.453125" bestFit="1" customWidth="1"/>
    <col min="9476" max="9476" width="59" bestFit="1" customWidth="1"/>
    <col min="9477" max="9477" width="14.26953125" bestFit="1" customWidth="1"/>
    <col min="9478" max="9478" width="34.54296875" bestFit="1" customWidth="1"/>
    <col min="9488" max="9492" width="0" hidden="1" customWidth="1"/>
    <col min="9729" max="9729" width="3.453125" customWidth="1"/>
    <col min="9730" max="9730" width="18.26953125" bestFit="1" customWidth="1"/>
    <col min="9731" max="9731" width="13.453125" bestFit="1" customWidth="1"/>
    <col min="9732" max="9732" width="59" bestFit="1" customWidth="1"/>
    <col min="9733" max="9733" width="14.26953125" bestFit="1" customWidth="1"/>
    <col min="9734" max="9734" width="34.54296875" bestFit="1" customWidth="1"/>
    <col min="9744" max="9748" width="0" hidden="1" customWidth="1"/>
    <col min="9985" max="9985" width="3.453125" customWidth="1"/>
    <col min="9986" max="9986" width="18.26953125" bestFit="1" customWidth="1"/>
    <col min="9987" max="9987" width="13.453125" bestFit="1" customWidth="1"/>
    <col min="9988" max="9988" width="59" bestFit="1" customWidth="1"/>
    <col min="9989" max="9989" width="14.26953125" bestFit="1" customWidth="1"/>
    <col min="9990" max="9990" width="34.54296875" bestFit="1" customWidth="1"/>
    <col min="10000" max="10004" width="0" hidden="1" customWidth="1"/>
    <col min="10241" max="10241" width="3.453125" customWidth="1"/>
    <col min="10242" max="10242" width="18.26953125" bestFit="1" customWidth="1"/>
    <col min="10243" max="10243" width="13.453125" bestFit="1" customWidth="1"/>
    <col min="10244" max="10244" width="59" bestFit="1" customWidth="1"/>
    <col min="10245" max="10245" width="14.26953125" bestFit="1" customWidth="1"/>
    <col min="10246" max="10246" width="34.54296875" bestFit="1" customWidth="1"/>
    <col min="10256" max="10260" width="0" hidden="1" customWidth="1"/>
    <col min="10497" max="10497" width="3.453125" customWidth="1"/>
    <col min="10498" max="10498" width="18.26953125" bestFit="1" customWidth="1"/>
    <col min="10499" max="10499" width="13.453125" bestFit="1" customWidth="1"/>
    <col min="10500" max="10500" width="59" bestFit="1" customWidth="1"/>
    <col min="10501" max="10501" width="14.26953125" bestFit="1" customWidth="1"/>
    <col min="10502" max="10502" width="34.54296875" bestFit="1" customWidth="1"/>
    <col min="10512" max="10516" width="0" hidden="1" customWidth="1"/>
    <col min="10753" max="10753" width="3.453125" customWidth="1"/>
    <col min="10754" max="10754" width="18.26953125" bestFit="1" customWidth="1"/>
    <col min="10755" max="10755" width="13.453125" bestFit="1" customWidth="1"/>
    <col min="10756" max="10756" width="59" bestFit="1" customWidth="1"/>
    <col min="10757" max="10757" width="14.26953125" bestFit="1" customWidth="1"/>
    <col min="10758" max="10758" width="34.54296875" bestFit="1" customWidth="1"/>
    <col min="10768" max="10772" width="0" hidden="1" customWidth="1"/>
    <col min="11009" max="11009" width="3.453125" customWidth="1"/>
    <col min="11010" max="11010" width="18.26953125" bestFit="1" customWidth="1"/>
    <col min="11011" max="11011" width="13.453125" bestFit="1" customWidth="1"/>
    <col min="11012" max="11012" width="59" bestFit="1" customWidth="1"/>
    <col min="11013" max="11013" width="14.26953125" bestFit="1" customWidth="1"/>
    <col min="11014" max="11014" width="34.54296875" bestFit="1" customWidth="1"/>
    <col min="11024" max="11028" width="0" hidden="1" customWidth="1"/>
    <col min="11265" max="11265" width="3.453125" customWidth="1"/>
    <col min="11266" max="11266" width="18.26953125" bestFit="1" customWidth="1"/>
    <col min="11267" max="11267" width="13.453125" bestFit="1" customWidth="1"/>
    <col min="11268" max="11268" width="59" bestFit="1" customWidth="1"/>
    <col min="11269" max="11269" width="14.26953125" bestFit="1" customWidth="1"/>
    <col min="11270" max="11270" width="34.54296875" bestFit="1" customWidth="1"/>
    <col min="11280" max="11284" width="0" hidden="1" customWidth="1"/>
    <col min="11521" max="11521" width="3.453125" customWidth="1"/>
    <col min="11522" max="11522" width="18.26953125" bestFit="1" customWidth="1"/>
    <col min="11523" max="11523" width="13.453125" bestFit="1" customWidth="1"/>
    <col min="11524" max="11524" width="59" bestFit="1" customWidth="1"/>
    <col min="11525" max="11525" width="14.26953125" bestFit="1" customWidth="1"/>
    <col min="11526" max="11526" width="34.54296875" bestFit="1" customWidth="1"/>
    <col min="11536" max="11540" width="0" hidden="1" customWidth="1"/>
    <col min="11777" max="11777" width="3.453125" customWidth="1"/>
    <col min="11778" max="11778" width="18.26953125" bestFit="1" customWidth="1"/>
    <col min="11779" max="11779" width="13.453125" bestFit="1" customWidth="1"/>
    <col min="11780" max="11780" width="59" bestFit="1" customWidth="1"/>
    <col min="11781" max="11781" width="14.26953125" bestFit="1" customWidth="1"/>
    <col min="11782" max="11782" width="34.54296875" bestFit="1" customWidth="1"/>
    <col min="11792" max="11796" width="0" hidden="1" customWidth="1"/>
    <col min="12033" max="12033" width="3.453125" customWidth="1"/>
    <col min="12034" max="12034" width="18.26953125" bestFit="1" customWidth="1"/>
    <col min="12035" max="12035" width="13.453125" bestFit="1" customWidth="1"/>
    <col min="12036" max="12036" width="59" bestFit="1" customWidth="1"/>
    <col min="12037" max="12037" width="14.26953125" bestFit="1" customWidth="1"/>
    <col min="12038" max="12038" width="34.54296875" bestFit="1" customWidth="1"/>
    <col min="12048" max="12052" width="0" hidden="1" customWidth="1"/>
    <col min="12289" max="12289" width="3.453125" customWidth="1"/>
    <col min="12290" max="12290" width="18.26953125" bestFit="1" customWidth="1"/>
    <col min="12291" max="12291" width="13.453125" bestFit="1" customWidth="1"/>
    <col min="12292" max="12292" width="59" bestFit="1" customWidth="1"/>
    <col min="12293" max="12293" width="14.26953125" bestFit="1" customWidth="1"/>
    <col min="12294" max="12294" width="34.54296875" bestFit="1" customWidth="1"/>
    <col min="12304" max="12308" width="0" hidden="1" customWidth="1"/>
    <col min="12545" max="12545" width="3.453125" customWidth="1"/>
    <col min="12546" max="12546" width="18.26953125" bestFit="1" customWidth="1"/>
    <col min="12547" max="12547" width="13.453125" bestFit="1" customWidth="1"/>
    <col min="12548" max="12548" width="59" bestFit="1" customWidth="1"/>
    <col min="12549" max="12549" width="14.26953125" bestFit="1" customWidth="1"/>
    <col min="12550" max="12550" width="34.54296875" bestFit="1" customWidth="1"/>
    <col min="12560" max="12564" width="0" hidden="1" customWidth="1"/>
    <col min="12801" max="12801" width="3.453125" customWidth="1"/>
    <col min="12802" max="12802" width="18.26953125" bestFit="1" customWidth="1"/>
    <col min="12803" max="12803" width="13.453125" bestFit="1" customWidth="1"/>
    <col min="12804" max="12804" width="59" bestFit="1" customWidth="1"/>
    <col min="12805" max="12805" width="14.26953125" bestFit="1" customWidth="1"/>
    <col min="12806" max="12806" width="34.54296875" bestFit="1" customWidth="1"/>
    <col min="12816" max="12820" width="0" hidden="1" customWidth="1"/>
    <col min="13057" max="13057" width="3.453125" customWidth="1"/>
    <col min="13058" max="13058" width="18.26953125" bestFit="1" customWidth="1"/>
    <col min="13059" max="13059" width="13.453125" bestFit="1" customWidth="1"/>
    <col min="13060" max="13060" width="59" bestFit="1" customWidth="1"/>
    <col min="13061" max="13061" width="14.26953125" bestFit="1" customWidth="1"/>
    <col min="13062" max="13062" width="34.54296875" bestFit="1" customWidth="1"/>
    <col min="13072" max="13076" width="0" hidden="1" customWidth="1"/>
    <col min="13313" max="13313" width="3.453125" customWidth="1"/>
    <col min="13314" max="13314" width="18.26953125" bestFit="1" customWidth="1"/>
    <col min="13315" max="13315" width="13.453125" bestFit="1" customWidth="1"/>
    <col min="13316" max="13316" width="59" bestFit="1" customWidth="1"/>
    <col min="13317" max="13317" width="14.26953125" bestFit="1" customWidth="1"/>
    <col min="13318" max="13318" width="34.54296875" bestFit="1" customWidth="1"/>
    <col min="13328" max="13332" width="0" hidden="1" customWidth="1"/>
    <col min="13569" max="13569" width="3.453125" customWidth="1"/>
    <col min="13570" max="13570" width="18.26953125" bestFit="1" customWidth="1"/>
    <col min="13571" max="13571" width="13.453125" bestFit="1" customWidth="1"/>
    <col min="13572" max="13572" width="59" bestFit="1" customWidth="1"/>
    <col min="13573" max="13573" width="14.26953125" bestFit="1" customWidth="1"/>
    <col min="13574" max="13574" width="34.54296875" bestFit="1" customWidth="1"/>
    <col min="13584" max="13588" width="0" hidden="1" customWidth="1"/>
    <col min="13825" max="13825" width="3.453125" customWidth="1"/>
    <col min="13826" max="13826" width="18.26953125" bestFit="1" customWidth="1"/>
    <col min="13827" max="13827" width="13.453125" bestFit="1" customWidth="1"/>
    <col min="13828" max="13828" width="59" bestFit="1" customWidth="1"/>
    <col min="13829" max="13829" width="14.26953125" bestFit="1" customWidth="1"/>
    <col min="13830" max="13830" width="34.54296875" bestFit="1" customWidth="1"/>
    <col min="13840" max="13844" width="0" hidden="1" customWidth="1"/>
    <col min="14081" max="14081" width="3.453125" customWidth="1"/>
    <col min="14082" max="14082" width="18.26953125" bestFit="1" customWidth="1"/>
    <col min="14083" max="14083" width="13.453125" bestFit="1" customWidth="1"/>
    <col min="14084" max="14084" width="59" bestFit="1" customWidth="1"/>
    <col min="14085" max="14085" width="14.26953125" bestFit="1" customWidth="1"/>
    <col min="14086" max="14086" width="34.54296875" bestFit="1" customWidth="1"/>
    <col min="14096" max="14100" width="0" hidden="1" customWidth="1"/>
    <col min="14337" max="14337" width="3.453125" customWidth="1"/>
    <col min="14338" max="14338" width="18.26953125" bestFit="1" customWidth="1"/>
    <col min="14339" max="14339" width="13.453125" bestFit="1" customWidth="1"/>
    <col min="14340" max="14340" width="59" bestFit="1" customWidth="1"/>
    <col min="14341" max="14341" width="14.26953125" bestFit="1" customWidth="1"/>
    <col min="14342" max="14342" width="34.54296875" bestFit="1" customWidth="1"/>
    <col min="14352" max="14356" width="0" hidden="1" customWidth="1"/>
    <col min="14593" max="14593" width="3.453125" customWidth="1"/>
    <col min="14594" max="14594" width="18.26953125" bestFit="1" customWidth="1"/>
    <col min="14595" max="14595" width="13.453125" bestFit="1" customWidth="1"/>
    <col min="14596" max="14596" width="59" bestFit="1" customWidth="1"/>
    <col min="14597" max="14597" width="14.26953125" bestFit="1" customWidth="1"/>
    <col min="14598" max="14598" width="34.54296875" bestFit="1" customWidth="1"/>
    <col min="14608" max="14612" width="0" hidden="1" customWidth="1"/>
    <col min="14849" max="14849" width="3.453125" customWidth="1"/>
    <col min="14850" max="14850" width="18.26953125" bestFit="1" customWidth="1"/>
    <col min="14851" max="14851" width="13.453125" bestFit="1" customWidth="1"/>
    <col min="14852" max="14852" width="59" bestFit="1" customWidth="1"/>
    <col min="14853" max="14853" width="14.26953125" bestFit="1" customWidth="1"/>
    <col min="14854" max="14854" width="34.54296875" bestFit="1" customWidth="1"/>
    <col min="14864" max="14868" width="0" hidden="1" customWidth="1"/>
    <col min="15105" max="15105" width="3.453125" customWidth="1"/>
    <col min="15106" max="15106" width="18.26953125" bestFit="1" customWidth="1"/>
    <col min="15107" max="15107" width="13.453125" bestFit="1" customWidth="1"/>
    <col min="15108" max="15108" width="59" bestFit="1" customWidth="1"/>
    <col min="15109" max="15109" width="14.26953125" bestFit="1" customWidth="1"/>
    <col min="15110" max="15110" width="34.54296875" bestFit="1" customWidth="1"/>
    <col min="15120" max="15124" width="0" hidden="1" customWidth="1"/>
    <col min="15361" max="15361" width="3.453125" customWidth="1"/>
    <col min="15362" max="15362" width="18.26953125" bestFit="1" customWidth="1"/>
    <col min="15363" max="15363" width="13.453125" bestFit="1" customWidth="1"/>
    <col min="15364" max="15364" width="59" bestFit="1" customWidth="1"/>
    <col min="15365" max="15365" width="14.26953125" bestFit="1" customWidth="1"/>
    <col min="15366" max="15366" width="34.54296875" bestFit="1" customWidth="1"/>
    <col min="15376" max="15380" width="0" hidden="1" customWidth="1"/>
    <col min="15617" max="15617" width="3.453125" customWidth="1"/>
    <col min="15618" max="15618" width="18.26953125" bestFit="1" customWidth="1"/>
    <col min="15619" max="15619" width="13.453125" bestFit="1" customWidth="1"/>
    <col min="15620" max="15620" width="59" bestFit="1" customWidth="1"/>
    <col min="15621" max="15621" width="14.26953125" bestFit="1" customWidth="1"/>
    <col min="15622" max="15622" width="34.54296875" bestFit="1" customWidth="1"/>
    <col min="15632" max="15636" width="0" hidden="1" customWidth="1"/>
    <col min="15873" max="15873" width="3.453125" customWidth="1"/>
    <col min="15874" max="15874" width="18.26953125" bestFit="1" customWidth="1"/>
    <col min="15875" max="15875" width="13.453125" bestFit="1" customWidth="1"/>
    <col min="15876" max="15876" width="59" bestFit="1" customWidth="1"/>
    <col min="15877" max="15877" width="14.26953125" bestFit="1" customWidth="1"/>
    <col min="15878" max="15878" width="34.54296875" bestFit="1" customWidth="1"/>
    <col min="15888" max="15892" width="0" hidden="1" customWidth="1"/>
    <col min="16129" max="16129" width="3.453125" customWidth="1"/>
    <col min="16130" max="16130" width="18.26953125" bestFit="1" customWidth="1"/>
    <col min="16131" max="16131" width="13.453125" bestFit="1" customWidth="1"/>
    <col min="16132" max="16132" width="59" bestFit="1" customWidth="1"/>
    <col min="16133" max="16133" width="14.26953125" bestFit="1" customWidth="1"/>
    <col min="16134" max="16134" width="34.54296875" bestFit="1" customWidth="1"/>
    <col min="16144" max="16148" width="0" hidden="1" customWidth="1"/>
  </cols>
  <sheetData>
    <row r="1" spans="1:18" s="5" customFormat="1" ht="16.5" customHeight="1" x14ac:dyDescent="0.25">
      <c r="A1" s="1"/>
      <c r="B1" s="2"/>
      <c r="C1" s="2"/>
      <c r="D1" s="2"/>
      <c r="E1" s="3"/>
      <c r="F1" s="4"/>
      <c r="R1" s="5" t="s">
        <v>0</v>
      </c>
    </row>
    <row r="2" spans="1:18" ht="25.5" customHeight="1" x14ac:dyDescent="0.25">
      <c r="A2" s="6"/>
      <c r="B2" s="94"/>
      <c r="C2" s="94"/>
      <c r="D2" s="7" t="s">
        <v>27</v>
      </c>
      <c r="E2" s="8"/>
      <c r="F2" s="9"/>
      <c r="R2" t="s">
        <v>2</v>
      </c>
    </row>
    <row r="3" spans="1:18" ht="16.5" customHeight="1" x14ac:dyDescent="0.3">
      <c r="A3" s="6"/>
      <c r="B3" s="10" t="s">
        <v>3</v>
      </c>
      <c r="C3" s="88" t="s">
        <v>19</v>
      </c>
      <c r="D3" s="89"/>
      <c r="E3" s="11"/>
      <c r="F3" s="12"/>
      <c r="R3" t="s">
        <v>4</v>
      </c>
    </row>
    <row r="4" spans="1:18" ht="16.5" customHeight="1" x14ac:dyDescent="0.35">
      <c r="A4" s="6"/>
      <c r="B4" s="13" t="s">
        <v>5</v>
      </c>
      <c r="C4" s="53">
        <v>45870</v>
      </c>
      <c r="D4" s="15"/>
      <c r="E4" s="16"/>
      <c r="F4" s="9"/>
      <c r="R4" t="s">
        <v>6</v>
      </c>
    </row>
    <row r="5" spans="1:18" ht="17.149999999999999" customHeight="1" x14ac:dyDescent="0.35">
      <c r="A5" s="6"/>
      <c r="B5" s="10" t="s">
        <v>7</v>
      </c>
      <c r="C5" s="55">
        <v>45900</v>
      </c>
      <c r="D5" s="17"/>
      <c r="E5" s="16"/>
      <c r="F5" s="9"/>
      <c r="R5" t="s">
        <v>8</v>
      </c>
    </row>
    <row r="6" spans="1:18" ht="17.149999999999999" customHeight="1" x14ac:dyDescent="0.3">
      <c r="A6" s="6"/>
      <c r="B6" s="10" t="s">
        <v>9</v>
      </c>
      <c r="C6" s="88"/>
      <c r="D6" s="89"/>
      <c r="E6" s="16"/>
      <c r="F6" s="9"/>
    </row>
    <row r="7" spans="1:18" ht="17.149999999999999" customHeight="1" x14ac:dyDescent="0.25">
      <c r="A7" s="6"/>
      <c r="B7" s="18"/>
      <c r="C7" s="19"/>
      <c r="D7" s="18"/>
      <c r="E7" s="43"/>
      <c r="F7" s="46"/>
      <c r="R7" t="s">
        <v>10</v>
      </c>
    </row>
    <row r="8" spans="1:18" s="24" customFormat="1" ht="20.149999999999999" customHeight="1" x14ac:dyDescent="0.25">
      <c r="A8" s="20"/>
      <c r="B8" s="21" t="s">
        <v>29</v>
      </c>
      <c r="C8" s="22" t="s">
        <v>30</v>
      </c>
      <c r="D8" s="23" t="s">
        <v>28</v>
      </c>
      <c r="E8" s="44" t="s">
        <v>33</v>
      </c>
      <c r="F8" s="47"/>
    </row>
    <row r="9" spans="1:18" s="24" customFormat="1" ht="15.5" x14ac:dyDescent="0.35">
      <c r="A9" s="20"/>
      <c r="B9" s="27"/>
      <c r="C9" s="55"/>
      <c r="D9" s="27"/>
      <c r="E9" s="27"/>
      <c r="F9" s="47"/>
    </row>
    <row r="10" spans="1:18" s="24" customFormat="1" ht="29" x14ac:dyDescent="0.35">
      <c r="A10" s="20"/>
      <c r="B10" s="25">
        <v>1</v>
      </c>
      <c r="C10" s="65" t="s">
        <v>31</v>
      </c>
      <c r="D10" s="63" t="s">
        <v>25</v>
      </c>
      <c r="E10" s="27"/>
      <c r="F10" s="47"/>
    </row>
    <row r="11" spans="1:18" s="24" customFormat="1" ht="15.5" x14ac:dyDescent="0.35">
      <c r="A11" s="20"/>
      <c r="B11" s="25"/>
      <c r="C11" s="26"/>
      <c r="D11" s="27"/>
      <c r="E11" s="28"/>
      <c r="F11" s="47"/>
    </row>
    <row r="12" spans="1:18" s="24" customFormat="1" ht="43.5" x14ac:dyDescent="0.35">
      <c r="A12" s="20"/>
      <c r="B12" s="25">
        <v>2</v>
      </c>
      <c r="C12" s="65" t="s">
        <v>32</v>
      </c>
      <c r="D12" s="63" t="s">
        <v>26</v>
      </c>
      <c r="E12" s="27"/>
      <c r="F12" s="47"/>
    </row>
    <row r="13" spans="1:18" s="24" customFormat="1" ht="15.5" x14ac:dyDescent="0.35">
      <c r="A13" s="20"/>
      <c r="B13" s="25"/>
      <c r="C13" s="26"/>
      <c r="D13" s="27" t="s">
        <v>58</v>
      </c>
      <c r="E13" s="27"/>
      <c r="F13" s="47"/>
    </row>
    <row r="14" spans="1:18" s="24" customFormat="1" ht="15.5" x14ac:dyDescent="0.35">
      <c r="A14" s="20"/>
      <c r="B14" s="25"/>
      <c r="C14" s="26"/>
      <c r="D14" s="27" t="s">
        <v>59</v>
      </c>
      <c r="E14" s="27"/>
      <c r="F14" s="47"/>
    </row>
    <row r="15" spans="1:18" s="24" customFormat="1" ht="15.5" x14ac:dyDescent="0.35">
      <c r="A15" s="20"/>
      <c r="B15" s="25"/>
      <c r="C15" s="26"/>
      <c r="D15" s="27" t="s">
        <v>54</v>
      </c>
      <c r="E15" s="27" t="s">
        <v>55</v>
      </c>
      <c r="F15" s="47"/>
    </row>
    <row r="16" spans="1:18" s="24" customFormat="1" ht="15.5" x14ac:dyDescent="0.35">
      <c r="A16" s="20"/>
      <c r="B16" s="25"/>
      <c r="C16" s="26"/>
      <c r="D16" s="27"/>
      <c r="E16" s="27"/>
      <c r="F16" s="47"/>
    </row>
    <row r="17" spans="1:10" s="24" customFormat="1" ht="29" x14ac:dyDescent="0.35">
      <c r="A17" s="20"/>
      <c r="B17" s="25">
        <v>3</v>
      </c>
      <c r="C17" s="65" t="s">
        <v>53</v>
      </c>
      <c r="D17" s="64" t="s">
        <v>61</v>
      </c>
      <c r="E17" s="27"/>
      <c r="F17" s="47"/>
    </row>
    <row r="18" spans="1:10" s="24" customFormat="1" ht="15.5" x14ac:dyDescent="0.35">
      <c r="A18" s="20"/>
      <c r="B18" s="25"/>
      <c r="C18" s="26"/>
      <c r="D18" s="27" t="s">
        <v>62</v>
      </c>
      <c r="E18" s="27"/>
      <c r="F18" s="47"/>
    </row>
    <row r="19" spans="1:10" s="24" customFormat="1" ht="15.5" x14ac:dyDescent="0.35">
      <c r="A19" s="20"/>
      <c r="B19" s="25"/>
      <c r="C19" s="26"/>
      <c r="D19" s="27" t="s">
        <v>63</v>
      </c>
      <c r="E19" s="27"/>
      <c r="F19" s="47"/>
      <c r="I19" s="80"/>
    </row>
    <row r="20" spans="1:10" s="24" customFormat="1" ht="15.5" x14ac:dyDescent="0.35">
      <c r="A20" s="20"/>
      <c r="B20" s="25"/>
      <c r="C20" s="26"/>
      <c r="D20" s="27" t="s">
        <v>68</v>
      </c>
      <c r="E20" s="27" t="s">
        <v>64</v>
      </c>
      <c r="F20" s="47"/>
    </row>
    <row r="21" spans="1:10" s="24" customFormat="1" ht="15.5" x14ac:dyDescent="0.35">
      <c r="A21" s="20"/>
      <c r="B21" s="25"/>
      <c r="C21" s="26"/>
      <c r="D21" s="27"/>
      <c r="E21" s="27"/>
      <c r="F21" s="47"/>
    </row>
    <row r="22" spans="1:10" s="24" customFormat="1" ht="29" x14ac:dyDescent="0.35">
      <c r="A22" s="20"/>
      <c r="B22" s="25"/>
      <c r="C22" s="26"/>
      <c r="D22" s="64" t="s">
        <v>66</v>
      </c>
      <c r="E22" s="27" t="s">
        <v>65</v>
      </c>
      <c r="F22" s="47"/>
    </row>
    <row r="23" spans="1:10" s="24" customFormat="1" ht="15.5" x14ac:dyDescent="0.35">
      <c r="A23" s="20"/>
      <c r="B23" s="25"/>
      <c r="C23" s="26"/>
      <c r="D23" s="27" t="s">
        <v>67</v>
      </c>
      <c r="E23" s="27"/>
      <c r="F23" s="47"/>
    </row>
    <row r="24" spans="1:10" s="24" customFormat="1" ht="15.5" x14ac:dyDescent="0.35">
      <c r="A24" s="20"/>
      <c r="B24" s="25"/>
      <c r="C24" s="26"/>
      <c r="D24" s="27"/>
      <c r="E24" s="27"/>
      <c r="F24" s="47"/>
    </row>
    <row r="25" spans="1:10" ht="16.5" customHeight="1" x14ac:dyDescent="0.35">
      <c r="A25" s="6"/>
      <c r="B25" s="25"/>
      <c r="C25" s="29"/>
      <c r="D25" s="64" t="s">
        <v>72</v>
      </c>
      <c r="E25" s="45"/>
      <c r="F25" s="48"/>
    </row>
    <row r="26" spans="1:10" ht="17.149999999999999" customHeight="1" x14ac:dyDescent="0.35">
      <c r="A26" s="6"/>
      <c r="B26" s="25"/>
      <c r="C26" s="34"/>
      <c r="D26" s="30"/>
      <c r="E26" s="31">
        <v>10080</v>
      </c>
      <c r="F26" s="9"/>
      <c r="H26" s="32"/>
      <c r="J26" s="32"/>
    </row>
    <row r="27" spans="1:10" ht="17.149999999999999" customHeight="1" x14ac:dyDescent="0.3">
      <c r="A27" s="6"/>
      <c r="B27" s="33" t="s">
        <v>15</v>
      </c>
      <c r="C27" s="95"/>
      <c r="D27" s="96"/>
      <c r="E27" s="97"/>
      <c r="F27" s="9"/>
      <c r="H27" s="35" t="s">
        <v>16</v>
      </c>
    </row>
    <row r="28" spans="1:10" ht="17.149999999999999" customHeight="1" x14ac:dyDescent="0.35">
      <c r="A28" s="6"/>
      <c r="B28" s="25"/>
      <c r="C28" s="95"/>
      <c r="D28" s="96"/>
      <c r="E28" s="97"/>
      <c r="F28" s="9"/>
    </row>
    <row r="29" spans="1:10" ht="15.5" x14ac:dyDescent="0.35">
      <c r="A29" s="6"/>
      <c r="B29" s="36" t="s">
        <v>17</v>
      </c>
      <c r="C29" s="91"/>
      <c r="D29" s="92"/>
      <c r="E29" s="93"/>
    </row>
    <row r="30" spans="1:10" ht="15.5" x14ac:dyDescent="0.35">
      <c r="A30" s="6"/>
      <c r="B30" s="25"/>
      <c r="C30" s="37"/>
      <c r="D30" s="25"/>
      <c r="E30" s="38"/>
    </row>
    <row r="31" spans="1:10" ht="15.5" x14ac:dyDescent="0.35">
      <c r="A31" s="6"/>
      <c r="B31" s="25"/>
      <c r="C31" s="37"/>
      <c r="D31" s="25"/>
      <c r="E31" s="38"/>
    </row>
    <row r="32" spans="1:10" ht="15.5" x14ac:dyDescent="0.35">
      <c r="A32" s="6"/>
      <c r="B32" s="39" t="s">
        <v>18</v>
      </c>
      <c r="C32" s="31">
        <f>E26</f>
        <v>10080</v>
      </c>
      <c r="D32" s="25"/>
      <c r="E32" s="38"/>
    </row>
    <row r="33" spans="1:5" ht="16" thickBot="1" x14ac:dyDescent="0.4">
      <c r="A33" s="40"/>
      <c r="B33" s="41"/>
      <c r="C33" s="41"/>
      <c r="D33" s="41"/>
      <c r="E33" s="42"/>
    </row>
  </sheetData>
  <mergeCells count="6">
    <mergeCell ref="C29:E29"/>
    <mergeCell ref="B2:C2"/>
    <mergeCell ref="C3:D3"/>
    <mergeCell ref="C6:D6"/>
    <mergeCell ref="C27:E27"/>
    <mergeCell ref="C28:E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Views>
    <sheetView tabSelected="1" zoomScale="81" zoomScaleNormal="81" workbookViewId="0">
      <selection activeCell="AJ18" sqref="AJ18"/>
    </sheetView>
  </sheetViews>
  <sheetFormatPr defaultRowHeight="12.5" x14ac:dyDescent="0.25"/>
  <cols>
    <col min="1" max="1" width="2.1796875" bestFit="1" customWidth="1"/>
    <col min="2" max="2" width="24.81640625" bestFit="1" customWidth="1"/>
    <col min="3" max="4" width="5.1796875" customWidth="1"/>
    <col min="5" max="5" width="5.26953125" customWidth="1"/>
    <col min="6" max="6" width="4.54296875" customWidth="1"/>
    <col min="7" max="7" width="5.26953125" customWidth="1"/>
    <col min="8" max="8" width="4.90625" customWidth="1"/>
    <col min="9" max="9" width="4.81640625" customWidth="1"/>
    <col min="10" max="10" width="4.54296875" customWidth="1"/>
    <col min="11" max="11" width="6.08984375" customWidth="1"/>
    <col min="12" max="12" width="4.6328125" customWidth="1"/>
    <col min="13" max="13" width="4.54296875" customWidth="1"/>
    <col min="14" max="14" width="4.7265625" customWidth="1"/>
    <col min="15" max="15" width="4.6328125" customWidth="1"/>
    <col min="16" max="16" width="4.7265625" customWidth="1"/>
    <col min="17" max="17" width="4.81640625" customWidth="1"/>
    <col min="18" max="18" width="5.08984375" customWidth="1"/>
    <col min="19" max="19" width="4.54296875" customWidth="1"/>
    <col min="20" max="20" width="5.6328125" customWidth="1"/>
    <col min="21" max="21" width="5.08984375" customWidth="1"/>
    <col min="22" max="22" width="4.453125" customWidth="1"/>
    <col min="23" max="23" width="4.6328125" customWidth="1"/>
    <col min="24" max="24" width="4.54296875" customWidth="1"/>
    <col min="25" max="25" width="4.81640625" customWidth="1"/>
    <col min="26" max="26" width="4.54296875" customWidth="1"/>
    <col min="27" max="27" width="6" customWidth="1"/>
    <col min="28" max="28" width="4.6328125" customWidth="1"/>
    <col min="29" max="29" width="4.54296875" customWidth="1"/>
    <col min="30" max="30" width="5.26953125" customWidth="1"/>
    <col min="31" max="31" width="5.453125" customWidth="1"/>
    <col min="32" max="32" width="4.90625" customWidth="1"/>
    <col min="33" max="33" width="5" customWidth="1"/>
    <col min="34" max="34" width="5.54296875" bestFit="1" customWidth="1"/>
    <col min="35" max="35" width="7.81640625" bestFit="1" customWidth="1"/>
    <col min="36" max="37" width="10.1796875" customWidth="1"/>
    <col min="38" max="38" width="9.453125" customWidth="1"/>
    <col min="39" max="39" width="9.1796875" customWidth="1"/>
    <col min="41" max="41" width="7" bestFit="1" customWidth="1"/>
    <col min="42" max="42" width="8.54296875" bestFit="1" customWidth="1"/>
  </cols>
  <sheetData>
    <row r="1" spans="1:43" s="67" customFormat="1" ht="49.5" customHeight="1" thickBot="1" x14ac:dyDescent="0.4">
      <c r="A1" s="74" t="s">
        <v>34</v>
      </c>
      <c r="B1" s="75" t="s">
        <v>44</v>
      </c>
      <c r="C1" s="78" t="s">
        <v>50</v>
      </c>
      <c r="D1" s="78" t="s">
        <v>51</v>
      </c>
      <c r="E1" s="78" t="s">
        <v>52</v>
      </c>
      <c r="F1" s="78" t="s">
        <v>46</v>
      </c>
      <c r="G1" s="78" t="s">
        <v>47</v>
      </c>
      <c r="H1" s="78" t="s">
        <v>48</v>
      </c>
      <c r="I1" s="78" t="s">
        <v>49</v>
      </c>
      <c r="J1" s="78" t="s">
        <v>50</v>
      </c>
      <c r="K1" s="78" t="s">
        <v>51</v>
      </c>
      <c r="L1" s="78" t="s">
        <v>52</v>
      </c>
      <c r="M1" s="78" t="s">
        <v>46</v>
      </c>
      <c r="N1" s="78" t="s">
        <v>47</v>
      </c>
      <c r="O1" s="78" t="s">
        <v>48</v>
      </c>
      <c r="P1" s="78" t="s">
        <v>49</v>
      </c>
      <c r="Q1" s="78" t="s">
        <v>50</v>
      </c>
      <c r="R1" s="78" t="s">
        <v>51</v>
      </c>
      <c r="S1" s="78" t="s">
        <v>52</v>
      </c>
      <c r="T1" s="78" t="s">
        <v>46</v>
      </c>
      <c r="U1" s="78" t="s">
        <v>47</v>
      </c>
      <c r="V1" s="78" t="s">
        <v>48</v>
      </c>
      <c r="W1" s="78" t="s">
        <v>49</v>
      </c>
      <c r="X1" s="78" t="s">
        <v>50</v>
      </c>
      <c r="Y1" s="78" t="s">
        <v>51</v>
      </c>
      <c r="Z1" s="78" t="s">
        <v>52</v>
      </c>
      <c r="AA1" s="78" t="s">
        <v>46</v>
      </c>
      <c r="AB1" s="78" t="s">
        <v>47</v>
      </c>
      <c r="AC1" s="78" t="s">
        <v>48</v>
      </c>
      <c r="AD1" s="78" t="s">
        <v>49</v>
      </c>
      <c r="AE1" s="78" t="s">
        <v>50</v>
      </c>
      <c r="AF1" s="78" t="s">
        <v>51</v>
      </c>
      <c r="AG1" s="78"/>
      <c r="AH1" s="66" t="s">
        <v>35</v>
      </c>
      <c r="AI1" s="66" t="s">
        <v>36</v>
      </c>
      <c r="AJ1" s="66" t="s">
        <v>57</v>
      </c>
      <c r="AK1" s="66" t="s">
        <v>60</v>
      </c>
      <c r="AL1" s="66" t="s">
        <v>37</v>
      </c>
      <c r="AM1" s="66" t="s">
        <v>38</v>
      </c>
      <c r="AN1" s="66" t="s">
        <v>39</v>
      </c>
      <c r="AO1" s="66" t="s">
        <v>40</v>
      </c>
      <c r="AP1" s="87"/>
      <c r="AQ1" s="87"/>
    </row>
    <row r="2" spans="1:43" ht="15" thickBot="1" x14ac:dyDescent="0.4">
      <c r="A2" s="76"/>
      <c r="B2" s="77"/>
      <c r="C2" s="79">
        <v>1</v>
      </c>
      <c r="D2" s="79">
        <v>2</v>
      </c>
      <c r="E2" s="79">
        <v>3</v>
      </c>
      <c r="F2" s="79">
        <v>4</v>
      </c>
      <c r="G2" s="79">
        <v>5</v>
      </c>
      <c r="H2" s="79">
        <v>6</v>
      </c>
      <c r="I2" s="79">
        <v>7</v>
      </c>
      <c r="J2" s="79">
        <v>8</v>
      </c>
      <c r="K2" s="79">
        <v>9</v>
      </c>
      <c r="L2" s="79">
        <v>10</v>
      </c>
      <c r="M2" s="79">
        <v>11</v>
      </c>
      <c r="N2" s="79">
        <v>12</v>
      </c>
      <c r="O2" s="79">
        <v>13</v>
      </c>
      <c r="P2" s="79">
        <v>14</v>
      </c>
      <c r="Q2" s="78">
        <v>15</v>
      </c>
      <c r="R2" s="78">
        <v>16</v>
      </c>
      <c r="S2" s="78">
        <v>17</v>
      </c>
      <c r="T2" s="78">
        <v>18</v>
      </c>
      <c r="U2" s="78">
        <v>19</v>
      </c>
      <c r="V2" s="78">
        <v>20</v>
      </c>
      <c r="W2" s="78">
        <v>21</v>
      </c>
      <c r="X2" s="78">
        <v>22</v>
      </c>
      <c r="Y2" s="78">
        <v>23</v>
      </c>
      <c r="Z2" s="78">
        <v>24</v>
      </c>
      <c r="AA2" s="78">
        <v>25</v>
      </c>
      <c r="AB2" s="78">
        <v>26</v>
      </c>
      <c r="AC2" s="78">
        <v>27</v>
      </c>
      <c r="AD2" s="79">
        <v>28</v>
      </c>
      <c r="AE2" s="79">
        <v>29</v>
      </c>
      <c r="AF2" s="79">
        <v>30</v>
      </c>
      <c r="AG2" s="85"/>
      <c r="AH2" s="68"/>
      <c r="AI2" s="68"/>
      <c r="AJ2" s="68"/>
      <c r="AK2" s="68"/>
      <c r="AL2" s="68"/>
      <c r="AM2" s="68"/>
      <c r="AN2" s="68"/>
      <c r="AO2" s="71"/>
      <c r="AP2" s="71"/>
      <c r="AQ2" s="71"/>
    </row>
    <row r="3" spans="1:43" ht="17" customHeight="1" x14ac:dyDescent="0.35">
      <c r="A3" s="70">
        <v>1</v>
      </c>
      <c r="B3" s="69" t="s">
        <v>19</v>
      </c>
      <c r="C3" s="82" t="s">
        <v>56</v>
      </c>
      <c r="D3" s="82" t="s">
        <v>56</v>
      </c>
      <c r="E3" s="82" t="s">
        <v>56</v>
      </c>
      <c r="F3" s="82" t="s">
        <v>56</v>
      </c>
      <c r="G3" s="82" t="s">
        <v>56</v>
      </c>
      <c r="H3" s="83" t="s">
        <v>45</v>
      </c>
      <c r="I3" s="83" t="s">
        <v>45</v>
      </c>
      <c r="J3" s="82" t="s">
        <v>56</v>
      </c>
      <c r="K3" s="82" t="s">
        <v>56</v>
      </c>
      <c r="L3" s="82" t="s">
        <v>56</v>
      </c>
      <c r="M3" s="82" t="s">
        <v>56</v>
      </c>
      <c r="N3" s="82" t="s">
        <v>56</v>
      </c>
      <c r="O3" s="83" t="s">
        <v>45</v>
      </c>
      <c r="P3" s="83" t="s">
        <v>45</v>
      </c>
      <c r="Q3" s="82" t="s">
        <v>56</v>
      </c>
      <c r="R3" s="82" t="s">
        <v>56</v>
      </c>
      <c r="S3" s="82" t="s">
        <v>56</v>
      </c>
      <c r="T3" s="82" t="s">
        <v>56</v>
      </c>
      <c r="U3" s="82" t="s">
        <v>56</v>
      </c>
      <c r="V3" s="83" t="s">
        <v>45</v>
      </c>
      <c r="W3" s="83" t="s">
        <v>45</v>
      </c>
      <c r="X3" s="82" t="s">
        <v>56</v>
      </c>
      <c r="Y3" s="82" t="s">
        <v>56</v>
      </c>
      <c r="Z3" s="82" t="s">
        <v>56</v>
      </c>
      <c r="AA3" s="82" t="s">
        <v>56</v>
      </c>
      <c r="AB3" s="82" t="s">
        <v>56</v>
      </c>
      <c r="AC3" s="83" t="s">
        <v>45</v>
      </c>
      <c r="AD3" s="83" t="s">
        <v>45</v>
      </c>
      <c r="AE3" s="82" t="s">
        <v>56</v>
      </c>
      <c r="AF3" s="82" t="s">
        <v>56</v>
      </c>
      <c r="AG3" s="83"/>
      <c r="AH3" s="68"/>
      <c r="AI3" s="68"/>
      <c r="AJ3" s="71"/>
      <c r="AK3" s="71"/>
      <c r="AL3" s="68"/>
      <c r="AM3" s="68"/>
      <c r="AN3" s="68"/>
      <c r="AO3" s="71"/>
      <c r="AP3" s="71"/>
      <c r="AQ3" s="71"/>
    </row>
    <row r="4" spans="1:43" ht="13" customHeight="1" x14ac:dyDescent="0.35">
      <c r="A4" s="68"/>
      <c r="B4" s="69"/>
      <c r="C4" s="84" t="s">
        <v>41</v>
      </c>
      <c r="D4" s="84" t="s">
        <v>41</v>
      </c>
      <c r="E4" s="84" t="s">
        <v>41</v>
      </c>
      <c r="F4" s="84" t="s">
        <v>41</v>
      </c>
      <c r="G4" s="84" t="s">
        <v>41</v>
      </c>
      <c r="H4" s="83" t="s">
        <v>45</v>
      </c>
      <c r="I4" s="83" t="s">
        <v>45</v>
      </c>
      <c r="J4" s="84" t="s">
        <v>41</v>
      </c>
      <c r="K4" s="84" t="s">
        <v>41</v>
      </c>
      <c r="L4" s="84" t="s">
        <v>41</v>
      </c>
      <c r="M4" s="84" t="s">
        <v>41</v>
      </c>
      <c r="N4" s="84" t="s">
        <v>41</v>
      </c>
      <c r="O4" s="83" t="s">
        <v>45</v>
      </c>
      <c r="P4" s="83" t="s">
        <v>45</v>
      </c>
      <c r="Q4" s="84" t="s">
        <v>41</v>
      </c>
      <c r="R4" s="84" t="s">
        <v>41</v>
      </c>
      <c r="S4" s="84" t="s">
        <v>41</v>
      </c>
      <c r="T4" s="84" t="s">
        <v>41</v>
      </c>
      <c r="U4" s="84" t="s">
        <v>41</v>
      </c>
      <c r="V4" s="83" t="s">
        <v>45</v>
      </c>
      <c r="W4" s="83" t="s">
        <v>45</v>
      </c>
      <c r="X4" s="84" t="s">
        <v>41</v>
      </c>
      <c r="Y4" s="84" t="s">
        <v>41</v>
      </c>
      <c r="Z4" s="84" t="s">
        <v>41</v>
      </c>
      <c r="AA4" s="84" t="s">
        <v>41</v>
      </c>
      <c r="AB4" s="84" t="s">
        <v>41</v>
      </c>
      <c r="AC4" s="83" t="s">
        <v>45</v>
      </c>
      <c r="AD4" s="83" t="s">
        <v>45</v>
      </c>
      <c r="AE4" s="84" t="s">
        <v>41</v>
      </c>
      <c r="AF4" s="84" t="s">
        <v>41</v>
      </c>
      <c r="AG4" s="83"/>
      <c r="AH4" s="70">
        <v>30</v>
      </c>
      <c r="AI4">
        <v>19</v>
      </c>
      <c r="AJ4" s="70">
        <v>19</v>
      </c>
      <c r="AK4" s="70">
        <v>0</v>
      </c>
      <c r="AL4" s="70">
        <v>0</v>
      </c>
      <c r="AM4" s="70">
        <v>10</v>
      </c>
      <c r="AN4" s="70">
        <v>0</v>
      </c>
      <c r="AO4" s="70">
        <v>20</v>
      </c>
      <c r="AP4" s="71"/>
      <c r="AQ4" s="71"/>
    </row>
    <row r="5" spans="1:43" x14ac:dyDescent="0.25">
      <c r="AI5" s="72"/>
      <c r="AJ5" s="72">
        <f>AJ4*504</f>
        <v>9576</v>
      </c>
      <c r="AK5" s="72">
        <v>0</v>
      </c>
      <c r="AL5" s="71"/>
      <c r="AM5" s="71"/>
      <c r="AN5" s="71"/>
      <c r="AO5" s="71"/>
      <c r="AP5" s="71"/>
      <c r="AQ5" s="71"/>
    </row>
    <row r="6" spans="1:43" x14ac:dyDescent="0.25">
      <c r="AI6" s="73" t="s">
        <v>42</v>
      </c>
      <c r="AJ6" s="72"/>
      <c r="AK6" s="72"/>
      <c r="AL6" s="72"/>
      <c r="AM6" s="72"/>
      <c r="AN6" s="71"/>
      <c r="AO6" s="71"/>
      <c r="AP6" s="71"/>
      <c r="AQ6" s="71"/>
    </row>
    <row r="7" spans="1:43" ht="17.149999999999999" customHeight="1" x14ac:dyDescent="0.25">
      <c r="AI7" s="72"/>
      <c r="AJ7" s="72"/>
      <c r="AK7" s="72"/>
      <c r="AL7" s="72"/>
      <c r="AM7" s="72"/>
      <c r="AN7" s="71"/>
      <c r="AO7" s="71"/>
      <c r="AP7" s="71"/>
      <c r="AQ7" s="71"/>
    </row>
    <row r="8" spans="1:43" x14ac:dyDescent="0.25">
      <c r="AI8" s="73" t="s">
        <v>43</v>
      </c>
      <c r="AJ8" s="72">
        <f>AJ5+AK5+AL5</f>
        <v>9576</v>
      </c>
      <c r="AK8" s="72"/>
      <c r="AL8" s="72"/>
      <c r="AM8" s="72"/>
      <c r="AN8" s="71"/>
      <c r="AO8" s="71"/>
      <c r="AP8" s="71"/>
      <c r="AQ8" s="7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Address Details</vt:lpstr>
      <vt:lpstr>Attendence Deatails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charan</dc:creator>
  <cp:lastModifiedBy>Windows User</cp:lastModifiedBy>
  <dcterms:created xsi:type="dcterms:W3CDTF">2023-10-26T09:10:52Z</dcterms:created>
  <dcterms:modified xsi:type="dcterms:W3CDTF">2025-09-21T15:56:34Z</dcterms:modified>
</cp:coreProperties>
</file>